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do\OneDrive\Desktop\"/>
    </mc:Choice>
  </mc:AlternateContent>
  <xr:revisionPtr revIDLastSave="0" documentId="8_{E2169071-8AEC-49FB-ACE5-EBB754D9FD23}" xr6:coauthVersionLast="47" xr6:coauthVersionMax="47" xr10:uidLastSave="{00000000-0000-0000-0000-000000000000}"/>
  <bookViews>
    <workbookView xWindow="290" yWindow="170" windowWidth="7935" windowHeight="10070" xr2:uid="{85BDBB27-DC76-42E0-810B-64880DD5D339}"/>
  </bookViews>
  <sheets>
    <sheet name="Chapter 8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66" i="1"/>
  <c r="F64" i="1"/>
  <c r="F65" i="1"/>
  <c r="F61" i="1"/>
  <c r="E65" i="1"/>
  <c r="E64" i="1"/>
  <c r="D64" i="1"/>
  <c r="B61" i="1"/>
  <c r="E57" i="1"/>
  <c r="D57" i="1"/>
  <c r="C56" i="1"/>
  <c r="D56" i="1"/>
  <c r="E56" i="1"/>
  <c r="F56" i="1"/>
  <c r="B56" i="1"/>
  <c r="D55" i="1"/>
  <c r="E55" i="1"/>
  <c r="E54" i="1"/>
  <c r="D54" i="1"/>
  <c r="B54" i="1"/>
  <c r="D53" i="1"/>
  <c r="E53" i="1"/>
  <c r="G51" i="1"/>
  <c r="C52" i="1"/>
  <c r="D52" i="1"/>
  <c r="E52" i="1"/>
  <c r="F52" i="1"/>
  <c r="D51" i="1"/>
  <c r="E51" i="1"/>
  <c r="C50" i="1"/>
  <c r="D50" i="1"/>
  <c r="E50" i="1"/>
  <c r="F50" i="1"/>
  <c r="G50" i="1"/>
  <c r="B50" i="1"/>
  <c r="D49" i="1"/>
  <c r="E49" i="1"/>
  <c r="G49" i="1"/>
  <c r="G45" i="1"/>
  <c r="E45" i="1"/>
  <c r="D45" i="1"/>
  <c r="G44" i="1"/>
  <c r="E44" i="1"/>
  <c r="D44" i="1"/>
  <c r="B44" i="1"/>
  <c r="G43" i="1"/>
  <c r="D43" i="1"/>
  <c r="E43" i="1"/>
  <c r="G42" i="1"/>
  <c r="F42" i="1"/>
  <c r="C42" i="1"/>
  <c r="D42" i="1"/>
  <c r="E42" i="1"/>
  <c r="H41" i="1"/>
  <c r="G41" i="1"/>
  <c r="E41" i="1"/>
  <c r="D41" i="1"/>
  <c r="C41" i="1"/>
  <c r="C43" i="1" s="1"/>
  <c r="B41" i="1"/>
  <c r="E37" i="1"/>
  <c r="B37" i="1"/>
  <c r="F36" i="1"/>
  <c r="F33" i="1"/>
  <c r="F35" i="1"/>
  <c r="F32" i="1"/>
  <c r="E36" i="1"/>
  <c r="E35" i="1"/>
  <c r="D35" i="1"/>
  <c r="C33" i="1"/>
  <c r="B33" i="1"/>
  <c r="B32" i="1"/>
  <c r="G28" i="1"/>
  <c r="F28" i="1"/>
  <c r="E28" i="1"/>
  <c r="D28" i="1"/>
  <c r="B28" i="1"/>
  <c r="G26" i="1"/>
  <c r="F26" i="1"/>
  <c r="E26" i="1"/>
  <c r="D26" i="1"/>
  <c r="C26" i="1"/>
  <c r="C28" i="1" s="1"/>
  <c r="B26" i="1"/>
  <c r="G27" i="1"/>
  <c r="F27" i="1"/>
  <c r="E27" i="1"/>
  <c r="D27" i="1"/>
  <c r="C27" i="1"/>
  <c r="B27" i="1"/>
  <c r="C34" i="1" l="1"/>
  <c r="D34" i="1"/>
  <c r="D37" i="1" s="1"/>
  <c r="F41" i="1"/>
  <c r="F43" i="1" s="1"/>
  <c r="B42" i="1"/>
  <c r="B43" i="1" l="1"/>
  <c r="B45" i="1" s="1"/>
  <c r="B49" i="1" s="1"/>
  <c r="B51" i="1" s="1"/>
  <c r="F44" i="1"/>
  <c r="C44" i="1"/>
  <c r="C45" i="1" s="1"/>
  <c r="C49" i="1" s="1"/>
  <c r="C51" i="1" s="1"/>
  <c r="F45" i="1"/>
  <c r="F51" i="1" s="1"/>
  <c r="C37" i="1"/>
  <c r="F37" i="1" s="1"/>
  <c r="F34" i="1"/>
  <c r="F53" i="1" l="1"/>
  <c r="F55" i="1" s="1"/>
  <c r="F57" i="1" s="1"/>
  <c r="C53" i="1"/>
  <c r="B52" i="1"/>
  <c r="C54" i="1" s="1"/>
  <c r="B53" i="1"/>
  <c r="B55" i="1" s="1"/>
  <c r="B57" i="1" s="1"/>
  <c r="C62" i="1" l="1"/>
  <c r="B62" i="1"/>
  <c r="C55" i="1"/>
  <c r="C57" i="1" s="1"/>
  <c r="C63" i="1" l="1"/>
  <c r="C66" i="1" s="1"/>
  <c r="D63" i="1"/>
  <c r="D66" i="1" s="1"/>
  <c r="B66" i="1"/>
  <c r="F62" i="1"/>
  <c r="F66" i="1" l="1"/>
  <c r="F63" i="1"/>
</calcChain>
</file>

<file path=xl/sharedStrings.xml><?xml version="1.0" encoding="utf-8"?>
<sst xmlns="http://schemas.openxmlformats.org/spreadsheetml/2006/main" count="100" uniqueCount="65">
  <si>
    <t>Data</t>
  </si>
  <si>
    <t>Year 2 Quarter</t>
  </si>
  <si>
    <t>Year 3 Quarter</t>
  </si>
  <si>
    <t>2</t>
  </si>
  <si>
    <t>3</t>
  </si>
  <si>
    <t>4</t>
  </si>
  <si>
    <t>1</t>
  </si>
  <si>
    <t>Budgeted unit sales</t>
  </si>
  <si>
    <t>• Selling price per unit</t>
  </si>
  <si>
    <t>per unit</t>
  </si>
  <si>
    <t>• Accounts receivable, beginning balance</t>
  </si>
  <si>
    <t>• Sales collected in the quarter sales are made</t>
  </si>
  <si>
    <t>• Sales collected in the quarter after sales are made</t>
  </si>
  <si>
    <t>• Desired ending finished goods inventory is</t>
  </si>
  <si>
    <t>of the budgeted unit sales of the next quarter</t>
  </si>
  <si>
    <t>• Finished goods inventory, beginning</t>
  </si>
  <si>
    <t>units</t>
  </si>
  <si>
    <t>• Raw materials required to produce one unit</t>
  </si>
  <si>
    <t>pounds</t>
  </si>
  <si>
    <t>• Desired ending inventory of raw materials is</t>
  </si>
  <si>
    <t>of the next quarter's production needs</t>
  </si>
  <si>
    <t>• Raw materials inventory, beginning</t>
  </si>
  <si>
    <t>• Raw material costs</t>
  </si>
  <si>
    <t>per pound</t>
  </si>
  <si>
    <t>• Raw materials purchases are paid</t>
  </si>
  <si>
    <t>in the quarter the purchases are made</t>
  </si>
  <si>
    <t>and</t>
  </si>
  <si>
    <t>in the quarter following purchase</t>
  </si>
  <si>
    <t>• Accounts payable for raw materials, beginning balance</t>
  </si>
  <si>
    <t>Enter a formula into each of the cells marked with a ? below</t>
  </si>
  <si>
    <t>Review Problem: Budget Schedules</t>
  </si>
  <si>
    <t>Construct the sales budget</t>
  </si>
  <si>
    <t>Selling price per unit</t>
  </si>
  <si>
    <t>Total sales</t>
  </si>
  <si>
    <t>Construct the schedule of expected cash collections</t>
  </si>
  <si>
    <t>Year</t>
  </si>
  <si>
    <t>Accounts receivable, beginning balance</t>
  </si>
  <si>
    <t>First-quarter sales</t>
  </si>
  <si>
    <t>Second-quarter sales</t>
  </si>
  <si>
    <t>Third-quarter sales</t>
  </si>
  <si>
    <t>Fourth-quarter sales</t>
  </si>
  <si>
    <t>Total cash collections</t>
  </si>
  <si>
    <t>Construct the production budget</t>
  </si>
  <si>
    <t>Add desired finished goods inventory</t>
  </si>
  <si>
    <t>Total needs</t>
  </si>
  <si>
    <t>Less beginning inventory</t>
  </si>
  <si>
    <t>Required production</t>
  </si>
  <si>
    <t>Construct the raw materials purchases budget</t>
  </si>
  <si>
    <t>Required production (units)</t>
  </si>
  <si>
    <t>Raw materials required to produce one unit</t>
  </si>
  <si>
    <t>Production needs (pounds)</t>
  </si>
  <si>
    <t>Add desired ending inventory of raw materials (pounds)</t>
  </si>
  <si>
    <t>Total needs (pounds)</t>
  </si>
  <si>
    <t>Less beginning inventory of raw materials (pounds)</t>
  </si>
  <si>
    <t>Raw materials to be purchased</t>
  </si>
  <si>
    <t>Cost of raw materials per pound</t>
  </si>
  <si>
    <t>Cost of raw materials to be purchased</t>
  </si>
  <si>
    <t>Construct the schedule of expected cash payments</t>
  </si>
  <si>
    <t>Accounts payable, beginning balance</t>
  </si>
  <si>
    <t>First-quarter purchases</t>
  </si>
  <si>
    <t>Second-quarter purchases</t>
  </si>
  <si>
    <t>Third-quarter purchases</t>
  </si>
  <si>
    <t>Fourth-quarter purchases</t>
  </si>
  <si>
    <t>Total cash disbursements</t>
  </si>
  <si>
    <t>Chapter 8: Applying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</si>
</sst>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2" formatCode="_(* #,##0_);_(* \(#,##0\);_(* &quot;-&quot;??_);_(@_)"/>
    <numFmt numFmtId="173" formatCode="&quot;$&quot;#,##0"/>
    <numFmt numFmtId="174" formatCode="&quot;$&quot;#,##0.00"/>
    <numFmt numFmtId="175" formatCode="#,##0;[Red]#,##0"/>
    <numFmt numFmtId="176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0"/>
      <name val="Geneva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38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6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7" fillId="0" borderId="0" xfId="0" applyFont="1"/>
    <xf numFmtId="0" fontId="2" fillId="0" borderId="0" xfId="6" applyFont="1" applyAlignment="1">
      <alignment horizontal="right"/>
    </xf>
    <xf numFmtId="0" fontId="2" fillId="0" borderId="0" xfId="6" applyFont="1"/>
    <xf numFmtId="0" fontId="3" fillId="0" borderId="0" xfId="0" applyFont="1"/>
    <xf numFmtId="0" fontId="2" fillId="0" borderId="0" xfId="6" applyFont="1" applyAlignment="1">
      <alignment horizontal="left"/>
    </xf>
    <xf numFmtId="49" fontId="4" fillId="0" borderId="0" xfId="6" applyNumberFormat="1" applyFont="1" applyAlignment="1">
      <alignment horizontal="center"/>
    </xf>
    <xf numFmtId="172" fontId="2" fillId="0" borderId="0" xfId="1" applyNumberFormat="1" applyFont="1" applyAlignment="1"/>
    <xf numFmtId="172" fontId="2" fillId="0" borderId="0" xfId="1" applyNumberFormat="1" applyFont="1" applyAlignment="1">
      <alignment horizontal="right"/>
    </xf>
    <xf numFmtId="173" fontId="2" fillId="0" borderId="0" xfId="6" applyNumberFormat="1" applyFont="1" applyAlignment="1">
      <alignment wrapText="1"/>
    </xf>
    <xf numFmtId="0" fontId="4" fillId="0" borderId="0" xfId="6" applyFont="1" applyAlignment="1">
      <alignment horizontal="center" wrapText="1"/>
    </xf>
    <xf numFmtId="0" fontId="2" fillId="0" borderId="0" xfId="6" applyFont="1" applyAlignment="1">
      <alignment horizontal="center" wrapText="1"/>
    </xf>
    <xf numFmtId="173" fontId="2" fillId="0" borderId="0" xfId="7" applyNumberFormat="1" applyFont="1" applyAlignment="1"/>
    <xf numFmtId="9" fontId="2" fillId="0" borderId="0" xfId="7" applyFont="1" applyAlignment="1">
      <alignment horizontal="right"/>
    </xf>
    <xf numFmtId="9" fontId="2" fillId="0" borderId="0" xfId="7" applyFont="1" applyAlignment="1"/>
    <xf numFmtId="38" fontId="2" fillId="0" borderId="0" xfId="6" applyNumberFormat="1" applyFont="1" applyAlignment="1">
      <alignment horizontal="right"/>
    </xf>
    <xf numFmtId="9" fontId="2" fillId="0" borderId="0" xfId="6" applyNumberFormat="1" applyFont="1" applyAlignment="1"/>
    <xf numFmtId="38" fontId="2" fillId="0" borderId="0" xfId="6" applyNumberFormat="1" applyFont="1" applyAlignment="1"/>
    <xf numFmtId="174" fontId="2" fillId="0" borderId="0" xfId="6" applyNumberFormat="1" applyFont="1" applyAlignment="1">
      <alignment wrapText="1"/>
    </xf>
    <xf numFmtId="0" fontId="2" fillId="0" borderId="0" xfId="6" applyFont="1" applyAlignment="1">
      <alignment horizontal="left" indent="2"/>
    </xf>
    <xf numFmtId="6" fontId="2" fillId="0" borderId="0" xfId="6" applyNumberFormat="1" applyFont="1" applyAlignment="1"/>
    <xf numFmtId="0" fontId="2" fillId="0" borderId="0" xfId="6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6" applyFont="1"/>
    <xf numFmtId="175" fontId="2" fillId="0" borderId="0" xfId="1" applyNumberFormat="1" applyFont="1" applyAlignment="1">
      <alignment horizontal="right"/>
    </xf>
    <xf numFmtId="173" fontId="2" fillId="0" borderId="0" xfId="6" applyNumberFormat="1" applyFont="1" applyBorder="1" applyAlignment="1">
      <alignment horizontal="right"/>
    </xf>
    <xf numFmtId="173" fontId="2" fillId="0" borderId="1" xfId="6" applyNumberFormat="1" applyFont="1" applyBorder="1" applyAlignment="1">
      <alignment horizontal="right"/>
    </xf>
    <xf numFmtId="0" fontId="4" fillId="0" borderId="0" xfId="6" applyFont="1"/>
    <xf numFmtId="0" fontId="4" fillId="0" borderId="0" xfId="6" applyFont="1" applyAlignment="1">
      <alignment horizontal="center"/>
    </xf>
    <xf numFmtId="176" fontId="2" fillId="0" borderId="0" xfId="6" applyNumberFormat="1" applyFont="1" applyAlignment="1">
      <alignment horizontal="right"/>
    </xf>
    <xf numFmtId="41" fontId="2" fillId="0" borderId="0" xfId="6" applyNumberFormat="1" applyFont="1" applyAlignment="1">
      <alignment horizontal="right"/>
    </xf>
    <xf numFmtId="41" fontId="2" fillId="0" borderId="0" xfId="6" applyNumberFormat="1" applyFont="1" applyBorder="1" applyAlignment="1">
      <alignment horizontal="right"/>
    </xf>
    <xf numFmtId="176" fontId="2" fillId="0" borderId="1" xfId="6" applyNumberFormat="1" applyFont="1" applyBorder="1" applyAlignment="1">
      <alignment horizontal="right"/>
    </xf>
    <xf numFmtId="38" fontId="2" fillId="0" borderId="0" xfId="6" applyNumberFormat="1" applyFont="1" applyBorder="1" applyAlignment="1">
      <alignment horizontal="right"/>
    </xf>
    <xf numFmtId="172" fontId="2" fillId="0" borderId="0" xfId="6" applyNumberFormat="1" applyFont="1" applyAlignment="1">
      <alignment horizontal="right"/>
    </xf>
    <xf numFmtId="172" fontId="2" fillId="0" borderId="2" xfId="6" applyNumberFormat="1" applyFont="1" applyBorder="1" applyAlignment="1">
      <alignment horizontal="right"/>
    </xf>
    <xf numFmtId="172" fontId="2" fillId="0" borderId="0" xfId="6" applyNumberFormat="1" applyFont="1" applyAlignment="1">
      <alignment horizontal="center"/>
    </xf>
    <xf numFmtId="172" fontId="2" fillId="0" borderId="1" xfId="6" applyNumberFormat="1" applyFont="1" applyBorder="1" applyAlignment="1">
      <alignment horizontal="right"/>
    </xf>
    <xf numFmtId="172" fontId="2" fillId="0" borderId="0" xfId="6" applyNumberFormat="1" applyFont="1" applyBorder="1" applyAlignment="1">
      <alignment horizontal="right"/>
    </xf>
    <xf numFmtId="172" fontId="2" fillId="0" borderId="3" xfId="6" applyNumberFormat="1" applyFont="1" applyBorder="1" applyAlignment="1">
      <alignment horizontal="right"/>
    </xf>
    <xf numFmtId="7" fontId="2" fillId="0" borderId="0" xfId="3" applyNumberFormat="1" applyFont="1" applyBorder="1" applyAlignment="1">
      <alignment horizontal="right"/>
    </xf>
    <xf numFmtId="5" fontId="2" fillId="0" borderId="1" xfId="6" applyNumberFormat="1" applyFont="1" applyBorder="1" applyAlignment="1">
      <alignment horizontal="right"/>
    </xf>
    <xf numFmtId="0" fontId="2" fillId="0" borderId="0" xfId="6" applyFont="1" applyAlignment="1">
      <alignment horizontal="left" indent="1"/>
    </xf>
    <xf numFmtId="176" fontId="2" fillId="0" borderId="0" xfId="6" applyNumberFormat="1" applyFont="1"/>
    <xf numFmtId="176" fontId="2" fillId="0" borderId="0" xfId="6" applyNumberFormat="1" applyFont="1" applyBorder="1" applyAlignment="1">
      <alignment horizontal="right"/>
    </xf>
    <xf numFmtId="6" fontId="4" fillId="0" borderId="0" xfId="6" applyNumberFormat="1" applyFont="1" applyAlignment="1">
      <alignment horizontal="center"/>
    </xf>
    <xf numFmtId="0" fontId="4" fillId="0" borderId="0" xfId="6" applyFont="1" applyAlignment="1">
      <alignment horizontal="center"/>
    </xf>
  </cellXfs>
  <cellStyles count="9">
    <cellStyle name="Comma" xfId="1" builtinId="3"/>
    <cellStyle name="Comma [0] 2" xfId="2" xr:uid="{3A8EB585-D634-4F5C-829E-13D0F49D9F62}"/>
    <cellStyle name="Currency" xfId="3" builtinId="4"/>
    <cellStyle name="Currency [0] 2" xfId="4" xr:uid="{1291AC75-719D-4A01-9A3A-71F16E3610DF}"/>
    <cellStyle name="Currency 2" xfId="5" xr:uid="{DC2F7BC0-A5A3-4590-B7C4-13F9067C82D4}"/>
    <cellStyle name="Normal" xfId="0" builtinId="0"/>
    <cellStyle name="Normal_Process Costing template" xfId="6" xr:uid="{C0A0E9FC-8615-4C1D-B732-7320C123B8C9}"/>
    <cellStyle name="Percent" xfId="7" builtinId="5"/>
    <cellStyle name="Percent 2" xfId="8" xr:uid="{61752669-4C65-444F-A15D-21BBA298B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B383-68E5-46EF-86C5-01BA72FEA9DF}">
  <dimension ref="A1:H74"/>
  <sheetViews>
    <sheetView tabSelected="1" topLeftCell="A52" zoomScale="51" workbookViewId="0">
      <selection activeCell="G72" sqref="G72"/>
    </sheetView>
  </sheetViews>
  <sheetFormatPr defaultColWidth="11.40625" defaultRowHeight="13"/>
  <cols>
    <col min="1" max="1" width="46.86328125" style="3" customWidth="1"/>
    <col min="2" max="2" width="11.26953125" style="2" customWidth="1"/>
    <col min="3" max="3" width="11.54296875" style="3" customWidth="1"/>
    <col min="4" max="4" width="10.7265625" style="3" customWidth="1"/>
    <col min="5" max="5" width="10" style="3" customWidth="1"/>
    <col min="6" max="6" width="11.54296875" style="3" customWidth="1"/>
    <col min="7" max="8" width="11.7265625" style="3" customWidth="1"/>
    <col min="9" max="9" width="5.54296875" style="3" customWidth="1"/>
    <col min="10" max="10" width="9.1328125" style="3" customWidth="1"/>
    <col min="11" max="11" width="7.1328125" style="3" customWidth="1"/>
    <col min="12" max="16384" width="11.40625" style="3"/>
  </cols>
  <sheetData>
    <row r="1" spans="1:7">
      <c r="A1" s="1" t="s">
        <v>64</v>
      </c>
    </row>
    <row r="2" spans="1:7">
      <c r="A2" s="1"/>
    </row>
    <row r="3" spans="1:7">
      <c r="A3" s="4" t="s">
        <v>0</v>
      </c>
      <c r="B3" s="46" t="s">
        <v>1</v>
      </c>
      <c r="C3" s="46"/>
      <c r="D3" s="46"/>
      <c r="E3" s="46"/>
      <c r="F3" s="47" t="s">
        <v>2</v>
      </c>
      <c r="G3" s="47"/>
    </row>
    <row r="4" spans="1:7">
      <c r="A4" s="5"/>
      <c r="B4" s="6">
        <v>1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3</v>
      </c>
    </row>
    <row r="5" spans="1:7">
      <c r="A5" s="5" t="s">
        <v>7</v>
      </c>
      <c r="B5" s="7">
        <v>40000</v>
      </c>
      <c r="C5" s="7">
        <v>75000</v>
      </c>
      <c r="D5" s="7">
        <v>100000</v>
      </c>
      <c r="E5" s="7">
        <v>50000</v>
      </c>
      <c r="F5" s="7">
        <v>70000</v>
      </c>
      <c r="G5" s="7">
        <v>80000</v>
      </c>
    </row>
    <row r="6" spans="1:7">
      <c r="A6" s="5"/>
      <c r="B6" s="8"/>
      <c r="C6" s="8"/>
      <c r="D6" s="8"/>
      <c r="E6" s="8"/>
      <c r="F6" s="8"/>
      <c r="G6" s="8"/>
    </row>
    <row r="7" spans="1:7" s="11" customFormat="1">
      <c r="A7" s="5" t="s">
        <v>8</v>
      </c>
      <c r="B7" s="9">
        <v>8</v>
      </c>
      <c r="C7" s="5" t="s">
        <v>9</v>
      </c>
      <c r="D7" s="10"/>
      <c r="E7" s="10"/>
    </row>
    <row r="8" spans="1:7">
      <c r="A8" s="5" t="s">
        <v>10</v>
      </c>
      <c r="B8" s="12">
        <v>65000</v>
      </c>
      <c r="C8" s="13"/>
      <c r="D8" s="13"/>
      <c r="E8" s="13"/>
    </row>
    <row r="9" spans="1:7">
      <c r="A9" s="5" t="s">
        <v>11</v>
      </c>
      <c r="B9" s="14">
        <v>0.75</v>
      </c>
      <c r="C9" s="13"/>
      <c r="D9" s="13"/>
      <c r="E9" s="13"/>
    </row>
    <row r="10" spans="1:7">
      <c r="A10" s="5" t="s">
        <v>12</v>
      </c>
      <c r="B10" s="14">
        <v>0.25</v>
      </c>
      <c r="C10" s="15"/>
      <c r="D10" s="15"/>
      <c r="E10" s="15"/>
    </row>
    <row r="11" spans="1:7">
      <c r="A11" s="5" t="s">
        <v>13</v>
      </c>
      <c r="B11" s="16">
        <v>0.3</v>
      </c>
      <c r="C11" s="5" t="s">
        <v>14</v>
      </c>
      <c r="D11" s="2"/>
      <c r="E11" s="2"/>
    </row>
    <row r="12" spans="1:7">
      <c r="A12" s="5" t="s">
        <v>15</v>
      </c>
      <c r="B12" s="7">
        <v>12000</v>
      </c>
      <c r="C12" s="3" t="s">
        <v>16</v>
      </c>
    </row>
    <row r="13" spans="1:7">
      <c r="A13" s="5" t="s">
        <v>17</v>
      </c>
      <c r="B13" s="7">
        <v>5</v>
      </c>
      <c r="C13" s="3" t="s">
        <v>18</v>
      </c>
    </row>
    <row r="14" spans="1:7">
      <c r="A14" s="5" t="s">
        <v>19</v>
      </c>
      <c r="B14" s="16">
        <v>0.1</v>
      </c>
      <c r="C14" s="3" t="s">
        <v>20</v>
      </c>
    </row>
    <row r="15" spans="1:7">
      <c r="A15" s="5" t="s">
        <v>21</v>
      </c>
      <c r="B15" s="17">
        <v>23000</v>
      </c>
      <c r="C15" s="3" t="s">
        <v>18</v>
      </c>
    </row>
    <row r="16" spans="1:7">
      <c r="A16" s="5" t="s">
        <v>22</v>
      </c>
      <c r="B16" s="18">
        <v>0.8</v>
      </c>
      <c r="C16" s="3" t="s">
        <v>23</v>
      </c>
    </row>
    <row r="17" spans="1:7">
      <c r="A17" s="5" t="s">
        <v>24</v>
      </c>
      <c r="B17" s="16">
        <v>0.6</v>
      </c>
      <c r="C17" s="3" t="s">
        <v>25</v>
      </c>
    </row>
    <row r="18" spans="1:7">
      <c r="A18" s="19" t="s">
        <v>26</v>
      </c>
      <c r="B18" s="16">
        <v>0.4</v>
      </c>
      <c r="C18" s="3" t="s">
        <v>27</v>
      </c>
    </row>
    <row r="19" spans="1:7">
      <c r="A19" s="5" t="s">
        <v>28</v>
      </c>
      <c r="B19" s="20">
        <v>81500</v>
      </c>
      <c r="C19" s="21"/>
    </row>
    <row r="21" spans="1:7">
      <c r="A21" s="22" t="s">
        <v>29</v>
      </c>
    </row>
    <row r="22" spans="1:7">
      <c r="A22" s="23" t="s">
        <v>30</v>
      </c>
    </row>
    <row r="23" spans="1:7">
      <c r="A23" s="23"/>
    </row>
    <row r="24" spans="1:7">
      <c r="A24" s="24" t="s">
        <v>31</v>
      </c>
      <c r="B24" s="46" t="s">
        <v>1</v>
      </c>
      <c r="C24" s="46"/>
      <c r="D24" s="46"/>
      <c r="E24" s="46"/>
      <c r="F24" s="47" t="s">
        <v>2</v>
      </c>
      <c r="G24" s="47"/>
    </row>
    <row r="25" spans="1:7">
      <c r="A25" s="5"/>
      <c r="B25" s="6">
        <v>1</v>
      </c>
      <c r="C25" s="6" t="s">
        <v>3</v>
      </c>
      <c r="D25" s="6" t="s">
        <v>4</v>
      </c>
      <c r="E25" s="6" t="s">
        <v>5</v>
      </c>
      <c r="F25" s="6" t="s">
        <v>6</v>
      </c>
      <c r="G25" s="6" t="s">
        <v>3</v>
      </c>
    </row>
    <row r="26" spans="1:7">
      <c r="A26" s="5" t="s">
        <v>7</v>
      </c>
      <c r="B26" s="7">
        <f>B5</f>
        <v>40000</v>
      </c>
      <c r="C26" s="25">
        <f>C5</f>
        <v>75000</v>
      </c>
      <c r="D26" s="25">
        <f>D5</f>
        <v>100000</v>
      </c>
      <c r="E26" s="25">
        <f>E5</f>
        <v>50000</v>
      </c>
      <c r="F26" s="25">
        <f>F5</f>
        <v>70000</v>
      </c>
      <c r="G26" s="25">
        <f>G5</f>
        <v>80000</v>
      </c>
    </row>
    <row r="27" spans="1:7">
      <c r="A27" s="3" t="s">
        <v>32</v>
      </c>
      <c r="B27" s="26">
        <f>B7</f>
        <v>8</v>
      </c>
      <c r="C27" s="26">
        <f>B7</f>
        <v>8</v>
      </c>
      <c r="D27" s="26">
        <f>B7</f>
        <v>8</v>
      </c>
      <c r="E27" s="26">
        <f>B7</f>
        <v>8</v>
      </c>
      <c r="F27" s="26">
        <f>B7</f>
        <v>8</v>
      </c>
      <c r="G27" s="26">
        <f>B7</f>
        <v>8</v>
      </c>
    </row>
    <row r="28" spans="1:7" ht="13.75" thickBot="1">
      <c r="A28" s="3" t="s">
        <v>33</v>
      </c>
      <c r="B28" s="27">
        <f>B26*B27</f>
        <v>320000</v>
      </c>
      <c r="C28" s="27">
        <f>C26*C27</f>
        <v>600000</v>
      </c>
      <c r="D28" s="27">
        <f>D26*D27</f>
        <v>800000</v>
      </c>
      <c r="E28" s="27">
        <f>E26*E27</f>
        <v>400000</v>
      </c>
      <c r="F28" s="27">
        <f>F26*F27</f>
        <v>560000</v>
      </c>
      <c r="G28" s="27">
        <f>G26*G27</f>
        <v>640000</v>
      </c>
    </row>
    <row r="29" spans="1:7" ht="13.75" thickTop="1"/>
    <row r="30" spans="1:7">
      <c r="A30" s="24" t="s">
        <v>34</v>
      </c>
      <c r="B30" s="46" t="s">
        <v>1</v>
      </c>
      <c r="C30" s="46"/>
      <c r="D30" s="46"/>
      <c r="E30" s="46"/>
      <c r="F30" s="28"/>
    </row>
    <row r="31" spans="1:7">
      <c r="A31" s="28"/>
      <c r="B31" s="6">
        <v>1</v>
      </c>
      <c r="C31" s="6" t="s">
        <v>3</v>
      </c>
      <c r="D31" s="6" t="s">
        <v>4</v>
      </c>
      <c r="E31" s="6" t="s">
        <v>5</v>
      </c>
      <c r="F31" s="29" t="s">
        <v>35</v>
      </c>
    </row>
    <row r="32" spans="1:7">
      <c r="A32" s="3" t="s">
        <v>36</v>
      </c>
      <c r="B32" s="30">
        <f>B8</f>
        <v>65000</v>
      </c>
      <c r="C32" s="30"/>
      <c r="D32" s="30"/>
      <c r="E32" s="30"/>
      <c r="F32" s="30">
        <f>SUM(B32:E32)</f>
        <v>65000</v>
      </c>
    </row>
    <row r="33" spans="1:8">
      <c r="A33" s="3" t="s">
        <v>37</v>
      </c>
      <c r="B33" s="31">
        <f>B$28*$B$9</f>
        <v>240000</v>
      </c>
      <c r="C33" s="30">
        <f>B$28*$B$10</f>
        <v>80000</v>
      </c>
      <c r="D33" s="31"/>
      <c r="E33" s="31"/>
      <c r="F33" s="30">
        <f>SUM(B33:E33)</f>
        <v>320000</v>
      </c>
    </row>
    <row r="34" spans="1:8">
      <c r="A34" s="3" t="s">
        <v>38</v>
      </c>
      <c r="B34" s="31"/>
      <c r="C34" s="31">
        <f>C$28*$B$9</f>
        <v>450000</v>
      </c>
      <c r="D34" s="30">
        <f>C$28*$B$10</f>
        <v>150000</v>
      </c>
      <c r="E34" s="31"/>
      <c r="F34" s="30">
        <f>SUM(B34:E34)</f>
        <v>600000</v>
      </c>
    </row>
    <row r="35" spans="1:8">
      <c r="A35" s="3" t="s">
        <v>39</v>
      </c>
      <c r="B35" s="31"/>
      <c r="C35" s="32"/>
      <c r="D35" s="31">
        <f>D$28*$B$9</f>
        <v>600000</v>
      </c>
      <c r="E35" s="30">
        <f>D$28*$B$10</f>
        <v>200000</v>
      </c>
      <c r="F35" s="30">
        <f t="shared" ref="F33:F36" si="0">SUM(B35:E35)</f>
        <v>800000</v>
      </c>
    </row>
    <row r="36" spans="1:8">
      <c r="A36" s="3" t="s">
        <v>40</v>
      </c>
      <c r="B36" s="31"/>
      <c r="C36" s="32"/>
      <c r="D36" s="31"/>
      <c r="E36" s="31">
        <f>E$28*$B$9</f>
        <v>300000</v>
      </c>
      <c r="F36" s="30">
        <f>SUM(B36:E36)</f>
        <v>300000</v>
      </c>
    </row>
    <row r="37" spans="1:8" ht="13.75" thickBot="1">
      <c r="A37" s="3" t="s">
        <v>41</v>
      </c>
      <c r="B37" s="33">
        <f>SUM(B32:B36)</f>
        <v>305000</v>
      </c>
      <c r="C37" s="33">
        <f>SUM(C32:C36)</f>
        <v>530000</v>
      </c>
      <c r="D37" s="33">
        <f>SUM(D32:D36)</f>
        <v>750000</v>
      </c>
      <c r="E37" s="33">
        <f>SUM(E32:E36)</f>
        <v>500000</v>
      </c>
      <c r="F37" s="30">
        <f>SUM(B37:E37)</f>
        <v>2085000</v>
      </c>
    </row>
    <row r="38" spans="1:8" ht="13.75" thickTop="1">
      <c r="B38" s="34"/>
      <c r="C38" s="34"/>
    </row>
    <row r="39" spans="1:8">
      <c r="A39" s="24" t="s">
        <v>42</v>
      </c>
      <c r="B39" s="46" t="s">
        <v>1</v>
      </c>
      <c r="C39" s="46"/>
      <c r="D39" s="46"/>
      <c r="E39" s="46"/>
      <c r="F39" s="28"/>
      <c r="G39" s="47" t="s">
        <v>2</v>
      </c>
      <c r="H39" s="47"/>
    </row>
    <row r="40" spans="1:8">
      <c r="A40" s="28"/>
      <c r="B40" s="6">
        <v>1</v>
      </c>
      <c r="C40" s="6" t="s">
        <v>3</v>
      </c>
      <c r="D40" s="6" t="s">
        <v>4</v>
      </c>
      <c r="E40" s="6" t="s">
        <v>5</v>
      </c>
      <c r="F40" s="29" t="s">
        <v>35</v>
      </c>
      <c r="G40" s="6" t="s">
        <v>6</v>
      </c>
      <c r="H40" s="6" t="s">
        <v>3</v>
      </c>
    </row>
    <row r="41" spans="1:8">
      <c r="A41" s="3" t="s">
        <v>7</v>
      </c>
      <c r="B41" s="35">
        <f>B5</f>
        <v>40000</v>
      </c>
      <c r="C41" s="35">
        <f>C5</f>
        <v>75000</v>
      </c>
      <c r="D41" s="35">
        <f>D5</f>
        <v>100000</v>
      </c>
      <c r="E41" s="35">
        <f>E5</f>
        <v>50000</v>
      </c>
      <c r="F41" s="35">
        <f>SUM(B41:E41)</f>
        <v>265000</v>
      </c>
      <c r="G41" s="35">
        <f>F5</f>
        <v>70000</v>
      </c>
      <c r="H41" s="35">
        <f>G5</f>
        <v>80000</v>
      </c>
    </row>
    <row r="42" spans="1:8">
      <c r="A42" s="3" t="s">
        <v>43</v>
      </c>
      <c r="B42" s="36">
        <f>C41*$B$11</f>
        <v>22500</v>
      </c>
      <c r="C42" s="36">
        <f>D41*$B$11</f>
        <v>30000</v>
      </c>
      <c r="D42" s="36">
        <f>E41*$B$11</f>
        <v>15000</v>
      </c>
      <c r="E42" s="36">
        <f>G41*$B$11</f>
        <v>21000</v>
      </c>
      <c r="F42" s="36">
        <f>E42</f>
        <v>21000</v>
      </c>
      <c r="G42" s="36">
        <f>H41*$B$11</f>
        <v>24000</v>
      </c>
      <c r="H42" s="37"/>
    </row>
    <row r="43" spans="1:8">
      <c r="A43" s="3" t="s">
        <v>44</v>
      </c>
      <c r="B43" s="35">
        <f>SUM(B41:B42)</f>
        <v>62500</v>
      </c>
      <c r="C43" s="35">
        <f t="shared" ref="C43:G43" si="1">SUM(C41:C42)</f>
        <v>105000</v>
      </c>
      <c r="D43" s="35">
        <f t="shared" si="1"/>
        <v>115000</v>
      </c>
      <c r="E43" s="35">
        <f t="shared" si="1"/>
        <v>71000</v>
      </c>
      <c r="F43" s="35">
        <f t="shared" si="1"/>
        <v>286000</v>
      </c>
      <c r="G43" s="35">
        <f>SUM(G41:G42)</f>
        <v>94000</v>
      </c>
      <c r="H43" s="37"/>
    </row>
    <row r="44" spans="1:8">
      <c r="A44" s="3" t="s">
        <v>45</v>
      </c>
      <c r="B44" s="35">
        <f>B12</f>
        <v>12000</v>
      </c>
      <c r="C44" s="35">
        <f>B42</f>
        <v>22500</v>
      </c>
      <c r="D44" s="35">
        <f>C42</f>
        <v>30000</v>
      </c>
      <c r="E44" s="35">
        <f>D42</f>
        <v>15000</v>
      </c>
      <c r="F44" s="35">
        <f>B42</f>
        <v>22500</v>
      </c>
      <c r="G44" s="35">
        <f>E42</f>
        <v>21000</v>
      </c>
      <c r="H44" s="37"/>
    </row>
    <row r="45" spans="1:8" ht="13.75" thickBot="1">
      <c r="A45" s="3" t="s">
        <v>46</v>
      </c>
      <c r="B45" s="38">
        <f>B43-B44</f>
        <v>50500</v>
      </c>
      <c r="C45" s="38">
        <f>C43-C44</f>
        <v>82500</v>
      </c>
      <c r="D45" s="38">
        <f>D43-D44</f>
        <v>85000</v>
      </c>
      <c r="E45" s="38">
        <f>E43-E44</f>
        <v>56000</v>
      </c>
      <c r="F45" s="38">
        <f>F43-F44</f>
        <v>263500</v>
      </c>
      <c r="G45" s="38">
        <f>G43-G44</f>
        <v>73000</v>
      </c>
      <c r="H45" s="37"/>
    </row>
    <row r="46" spans="1:8" ht="13.75" thickTop="1">
      <c r="B46" s="37"/>
      <c r="C46" s="37"/>
      <c r="D46" s="37"/>
      <c r="E46" s="37"/>
      <c r="F46" s="37"/>
      <c r="G46" s="37"/>
      <c r="H46" s="37"/>
    </row>
    <row r="47" spans="1:8">
      <c r="A47" s="24" t="s">
        <v>47</v>
      </c>
      <c r="B47" s="46" t="s">
        <v>1</v>
      </c>
      <c r="C47" s="46"/>
      <c r="D47" s="46"/>
      <c r="E47" s="46"/>
      <c r="F47" s="28"/>
      <c r="G47" s="29" t="s">
        <v>2</v>
      </c>
      <c r="H47" s="29"/>
    </row>
    <row r="48" spans="1:8">
      <c r="B48" s="6">
        <v>1</v>
      </c>
      <c r="C48" s="6" t="s">
        <v>3</v>
      </c>
      <c r="D48" s="6" t="s">
        <v>4</v>
      </c>
      <c r="E48" s="6" t="s">
        <v>5</v>
      </c>
      <c r="F48" s="29" t="s">
        <v>35</v>
      </c>
      <c r="G48" s="6" t="s">
        <v>6</v>
      </c>
      <c r="H48" s="6"/>
    </row>
    <row r="49" spans="1:7">
      <c r="A49" s="3" t="s">
        <v>48</v>
      </c>
      <c r="B49" s="39">
        <f>B45</f>
        <v>50500</v>
      </c>
      <c r="C49" s="39">
        <f>C45</f>
        <v>82500</v>
      </c>
      <c r="D49" s="39">
        <f>D45</f>
        <v>85000</v>
      </c>
      <c r="E49" s="39">
        <f>E45</f>
        <v>56000</v>
      </c>
      <c r="F49" s="39">
        <v>274000</v>
      </c>
      <c r="G49" s="39">
        <f>G45</f>
        <v>73000</v>
      </c>
    </row>
    <row r="50" spans="1:7">
      <c r="A50" s="3" t="s">
        <v>49</v>
      </c>
      <c r="B50" s="36">
        <f>$B13</f>
        <v>5</v>
      </c>
      <c r="C50" s="36">
        <f t="shared" ref="C50:G50" si="2">$B13</f>
        <v>5</v>
      </c>
      <c r="D50" s="36">
        <f t="shared" si="2"/>
        <v>5</v>
      </c>
      <c r="E50" s="36">
        <f t="shared" si="2"/>
        <v>5</v>
      </c>
      <c r="F50" s="36">
        <f t="shared" si="2"/>
        <v>5</v>
      </c>
      <c r="G50" s="36">
        <f t="shared" si="2"/>
        <v>5</v>
      </c>
    </row>
    <row r="51" spans="1:7">
      <c r="A51" s="3" t="s">
        <v>50</v>
      </c>
      <c r="B51" s="39">
        <f>B49*B50</f>
        <v>252500</v>
      </c>
      <c r="C51" s="39">
        <f t="shared" ref="C51:G51" si="3">C49*C50</f>
        <v>412500</v>
      </c>
      <c r="D51" s="39">
        <f t="shared" si="3"/>
        <v>425000</v>
      </c>
      <c r="E51" s="39">
        <f t="shared" si="3"/>
        <v>280000</v>
      </c>
      <c r="F51" s="39">
        <f>F49*F50</f>
        <v>1370000</v>
      </c>
      <c r="G51" s="39">
        <f>G49*G50</f>
        <v>365000</v>
      </c>
    </row>
    <row r="52" spans="1:7">
      <c r="A52" s="3" t="s">
        <v>51</v>
      </c>
      <c r="B52" s="36">
        <f>$B$14*C51</f>
        <v>41250</v>
      </c>
      <c r="C52" s="36">
        <f>$B$14*D51</f>
        <v>42500</v>
      </c>
      <c r="D52" s="36">
        <f>$B$14*E51</f>
        <v>28000</v>
      </c>
      <c r="E52" s="36">
        <f>$B$14*G51</f>
        <v>36500</v>
      </c>
      <c r="F52" s="36">
        <f>E52</f>
        <v>36500</v>
      </c>
      <c r="G52" s="39"/>
    </row>
    <row r="53" spans="1:7">
      <c r="A53" s="3" t="s">
        <v>52</v>
      </c>
      <c r="B53" s="39">
        <f>SUM(B51:B52)</f>
        <v>293750</v>
      </c>
      <c r="C53" s="39">
        <f>SUM(C51:C52)</f>
        <v>455000</v>
      </c>
      <c r="D53" s="39">
        <f>SUM(D51:D52)</f>
        <v>453000</v>
      </c>
      <c r="E53" s="39">
        <f>SUM(E51:E52)</f>
        <v>316500</v>
      </c>
      <c r="F53" s="39">
        <f>SUM(F51:F52)</f>
        <v>1406500</v>
      </c>
      <c r="G53" s="39"/>
    </row>
    <row r="54" spans="1:7">
      <c r="A54" s="3" t="s">
        <v>53</v>
      </c>
      <c r="B54" s="36">
        <f>B15</f>
        <v>23000</v>
      </c>
      <c r="C54" s="36">
        <f>B52</f>
        <v>41250</v>
      </c>
      <c r="D54" s="36">
        <f>C52</f>
        <v>42500</v>
      </c>
      <c r="E54" s="36">
        <f>D52</f>
        <v>28000</v>
      </c>
      <c r="F54" s="36">
        <f>B54</f>
        <v>23000</v>
      </c>
      <c r="G54" s="39"/>
    </row>
    <row r="55" spans="1:7">
      <c r="A55" s="3" t="s">
        <v>54</v>
      </c>
      <c r="B55" s="40">
        <f>B53-B54</f>
        <v>270750</v>
      </c>
      <c r="C55" s="40">
        <f t="shared" ref="C55:F55" si="4">C53-C54</f>
        <v>413750</v>
      </c>
      <c r="D55" s="40">
        <f t="shared" si="4"/>
        <v>410500</v>
      </c>
      <c r="E55" s="40">
        <f t="shared" si="4"/>
        <v>288500</v>
      </c>
      <c r="F55" s="40">
        <f t="shared" si="4"/>
        <v>1383500</v>
      </c>
      <c r="G55" s="39"/>
    </row>
    <row r="56" spans="1:7">
      <c r="A56" s="3" t="s">
        <v>55</v>
      </c>
      <c r="B56" s="41">
        <f>$B$16</f>
        <v>0.8</v>
      </c>
      <c r="C56" s="41">
        <f t="shared" ref="C56:F56" si="5">$B$16</f>
        <v>0.8</v>
      </c>
      <c r="D56" s="41">
        <f t="shared" si="5"/>
        <v>0.8</v>
      </c>
      <c r="E56" s="41">
        <f t="shared" si="5"/>
        <v>0.8</v>
      </c>
      <c r="F56" s="41">
        <f t="shared" si="5"/>
        <v>0.8</v>
      </c>
      <c r="G56" s="39"/>
    </row>
    <row r="57" spans="1:7" ht="13.75" thickBot="1">
      <c r="A57" s="3" t="s">
        <v>56</v>
      </c>
      <c r="B57" s="42">
        <f>B55*B56</f>
        <v>216600</v>
      </c>
      <c r="C57" s="42">
        <f>C55*C56</f>
        <v>331000</v>
      </c>
      <c r="D57" s="42">
        <f>D55*D56</f>
        <v>328400</v>
      </c>
      <c r="E57" s="42">
        <f>E55*E56</f>
        <v>230800</v>
      </c>
      <c r="F57" s="42">
        <f>F55*F56</f>
        <v>1106800</v>
      </c>
      <c r="G57" s="39"/>
    </row>
    <row r="58" spans="1:7" ht="13.75" thickTop="1">
      <c r="A58" s="43"/>
    </row>
    <row r="59" spans="1:7">
      <c r="A59" s="24" t="s">
        <v>57</v>
      </c>
      <c r="B59" s="46" t="s">
        <v>1</v>
      </c>
      <c r="C59" s="46"/>
      <c r="D59" s="46"/>
      <c r="E59" s="46"/>
      <c r="F59" s="28"/>
    </row>
    <row r="60" spans="1:7">
      <c r="B60" s="6">
        <v>1</v>
      </c>
      <c r="C60" s="6" t="s">
        <v>3</v>
      </c>
      <c r="D60" s="6" t="s">
        <v>4</v>
      </c>
      <c r="E60" s="6" t="s">
        <v>5</v>
      </c>
      <c r="F60" s="29" t="s">
        <v>35</v>
      </c>
    </row>
    <row r="61" spans="1:7">
      <c r="A61" s="3" t="s">
        <v>58</v>
      </c>
      <c r="B61" s="30">
        <f>B19</f>
        <v>81500</v>
      </c>
      <c r="C61" s="30"/>
      <c r="D61" s="30"/>
      <c r="E61" s="30"/>
      <c r="F61" s="30">
        <f>SUM(B61:E61)</f>
        <v>81500</v>
      </c>
    </row>
    <row r="62" spans="1:7">
      <c r="A62" s="3" t="s">
        <v>59</v>
      </c>
      <c r="B62" s="30">
        <f>B$57*$B$17</f>
        <v>129960</v>
      </c>
      <c r="C62" s="30">
        <f>B$57*$B$18</f>
        <v>86640</v>
      </c>
      <c r="D62" s="30"/>
      <c r="E62" s="30"/>
      <c r="F62" s="30">
        <f t="shared" ref="F62:F66" si="6">SUM(B62:E62)</f>
        <v>216600</v>
      </c>
    </row>
    <row r="63" spans="1:7">
      <c r="A63" s="3" t="s">
        <v>60</v>
      </c>
      <c r="B63" s="30"/>
      <c r="C63" s="31">
        <f>C$57*$B$17</f>
        <v>198600</v>
      </c>
      <c r="D63" s="31">
        <f>C$57*$B$18</f>
        <v>132400</v>
      </c>
      <c r="E63" s="30"/>
      <c r="F63" s="30">
        <f t="shared" si="6"/>
        <v>331000</v>
      </c>
    </row>
    <row r="64" spans="1:7">
      <c r="A64" s="3" t="s">
        <v>61</v>
      </c>
      <c r="B64" s="30"/>
      <c r="C64" s="30"/>
      <c r="D64" s="31">
        <f>D$57*$B$17</f>
        <v>197040</v>
      </c>
      <c r="E64" s="30">
        <f>D$57*$B$18</f>
        <v>131360</v>
      </c>
      <c r="F64" s="30">
        <f t="shared" si="6"/>
        <v>328400</v>
      </c>
    </row>
    <row r="65" spans="1:6">
      <c r="A65" s="3" t="s">
        <v>62</v>
      </c>
      <c r="B65" s="30"/>
      <c r="C65" s="30"/>
      <c r="D65" s="30"/>
      <c r="E65" s="31">
        <f>E$57*$B$17</f>
        <v>138480</v>
      </c>
      <c r="F65" s="30">
        <f t="shared" si="6"/>
        <v>138480</v>
      </c>
    </row>
    <row r="66" spans="1:6" ht="13.75" thickBot="1">
      <c r="A66" s="3" t="s">
        <v>63</v>
      </c>
      <c r="B66" s="33">
        <f>SUM(B61:B62)</f>
        <v>211460</v>
      </c>
      <c r="C66" s="33">
        <f>SUM(C62:C63)</f>
        <v>285240</v>
      </c>
      <c r="D66" s="33">
        <f>SUM(D63:D64)</f>
        <v>329440</v>
      </c>
      <c r="E66" s="33">
        <f>SUM(E64:E65)</f>
        <v>269840</v>
      </c>
      <c r="F66" s="30">
        <f>SUM(B66:E66)</f>
        <v>1095980</v>
      </c>
    </row>
    <row r="67" spans="1:6" ht="13.75" thickTop="1">
      <c r="A67" s="43"/>
      <c r="B67" s="30"/>
      <c r="C67" s="30"/>
      <c r="D67" s="44"/>
      <c r="E67" s="44"/>
      <c r="F67" s="44"/>
    </row>
    <row r="68" spans="1:6">
      <c r="A68" s="43"/>
      <c r="B68" s="45"/>
      <c r="C68" s="45"/>
      <c r="D68" s="44"/>
      <c r="E68" s="44"/>
      <c r="F68" s="44"/>
    </row>
    <row r="69" spans="1:6">
      <c r="A69" s="5"/>
      <c r="B69" s="45"/>
      <c r="C69" s="45"/>
      <c r="D69" s="44"/>
      <c r="E69" s="44"/>
      <c r="F69" s="44"/>
    </row>
    <row r="70" spans="1:6">
      <c r="B70" s="30"/>
      <c r="C70" s="44"/>
      <c r="D70" s="44"/>
      <c r="E70" s="44"/>
      <c r="F70" s="44"/>
    </row>
    <row r="71" spans="1:6">
      <c r="B71" s="30"/>
      <c r="C71" s="44"/>
      <c r="D71" s="44"/>
      <c r="E71" s="44"/>
      <c r="F71" s="44"/>
    </row>
    <row r="72" spans="1:6">
      <c r="B72" s="30"/>
      <c r="C72" s="44"/>
      <c r="D72" s="44"/>
      <c r="E72" s="44"/>
      <c r="F72" s="44"/>
    </row>
    <row r="73" spans="1:6">
      <c r="B73" s="30"/>
      <c r="C73" s="44"/>
      <c r="D73" s="44"/>
      <c r="E73" s="44"/>
      <c r="F73" s="44"/>
    </row>
    <row r="74" spans="1:6">
      <c r="B74" s="30"/>
      <c r="C74" s="44"/>
      <c r="D74" s="44"/>
      <c r="E74" s="44"/>
      <c r="F74" s="44"/>
    </row>
  </sheetData>
  <mergeCells count="9">
    <mergeCell ref="B47:E47"/>
    <mergeCell ref="B59:E59"/>
    <mergeCell ref="B3:E3"/>
    <mergeCell ref="F3:G3"/>
    <mergeCell ref="B24:E24"/>
    <mergeCell ref="F24:G24"/>
    <mergeCell ref="B30:E30"/>
    <mergeCell ref="B39:E39"/>
    <mergeCell ref="G39:H39"/>
  </mergeCells>
  <printOptions gridLines="1" gridLinesSet="0"/>
  <pageMargins left="0.25" right="0.25" top="0.75" bottom="0.25" header="0.5" footer="0.5"/>
  <pageSetup orientation="portrait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 8 Form</vt:lpstr>
    </vt:vector>
  </TitlesOfParts>
  <Company>The McGraw-Hill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Katie</dc:creator>
  <cp:lastModifiedBy>Landon Trevisani</cp:lastModifiedBy>
  <dcterms:created xsi:type="dcterms:W3CDTF">2012-09-21T16:18:24Z</dcterms:created>
  <dcterms:modified xsi:type="dcterms:W3CDTF">2025-05-30T13:39:45Z</dcterms:modified>
</cp:coreProperties>
</file>